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C\Downloads\SQA\"/>
    </mc:Choice>
  </mc:AlternateContent>
  <xr:revisionPtr revIDLastSave="0" documentId="13_ncr:1_{78B6EDFE-2B6C-49B6-9282-EFD4397E909C}" xr6:coauthVersionLast="47" xr6:coauthVersionMax="47" xr10:uidLastSave="{00000000-0000-0000-0000-000000000000}"/>
  <bookViews>
    <workbookView xWindow="-108" yWindow="-108" windowWidth="23256" windowHeight="12576" activeTab="1" xr2:uid="{3D1806E9-0AFE-4B08-954F-9AB03DA1CD2C}"/>
  </bookViews>
  <sheets>
    <sheet name="Test Plan" sheetId="2" r:id="rId1"/>
    <sheet name="Test Case" sheetId="1" r:id="rId2"/>
    <sheet name="Bug Report" sheetId="3" r:id="rId3"/>
  </sheets>
  <definedNames>
    <definedName name="Ali_Express">'Test Case'!$C$1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1" l="1"/>
  <c r="M4" i="1"/>
  <c r="M5" i="1"/>
  <c r="G1" i="1"/>
  <c r="M6" i="1" l="1"/>
</calcChain>
</file>

<file path=xl/sharedStrings.xml><?xml version="1.0" encoding="utf-8"?>
<sst xmlns="http://schemas.openxmlformats.org/spreadsheetml/2006/main" count="204" uniqueCount="138">
  <si>
    <t>Product Name</t>
  </si>
  <si>
    <t>TC Start Date</t>
  </si>
  <si>
    <t>TC Execution Start Date</t>
  </si>
  <si>
    <t>TEST CASE</t>
  </si>
  <si>
    <t>Module Name</t>
  </si>
  <si>
    <t>TC End Date</t>
  </si>
  <si>
    <t>17/08/2023</t>
  </si>
  <si>
    <t>TC Execution End Date</t>
  </si>
  <si>
    <t xml:space="preserve"> - -</t>
  </si>
  <si>
    <t>PASS</t>
  </si>
  <si>
    <t>FAIL</t>
  </si>
  <si>
    <t>NO RUN</t>
  </si>
  <si>
    <t>Test Executed by</t>
  </si>
  <si>
    <t>BLOCKED</t>
  </si>
  <si>
    <t>TOTAL</t>
  </si>
  <si>
    <t>#SL</t>
  </si>
  <si>
    <t>Module</t>
  </si>
  <si>
    <t>Type of Testing</t>
  </si>
  <si>
    <t>Features</t>
  </si>
  <si>
    <t>Test Cases</t>
  </si>
  <si>
    <t>Exepected  Result</t>
  </si>
  <si>
    <t>Actual Result</t>
  </si>
  <si>
    <t>Test Data</t>
  </si>
  <si>
    <t>Reproducing
Steps</t>
  </si>
  <si>
    <t xml:space="preserve">Bugs Screen Shot </t>
  </si>
  <si>
    <t>Dev Comments</t>
  </si>
  <si>
    <t>Final Status</t>
  </si>
  <si>
    <t>Remarks</t>
  </si>
  <si>
    <t xml:space="preserve">Account </t>
  </si>
  <si>
    <t>Browser 
Compatibility Testing</t>
  </si>
  <si>
    <t>Checking by running the URL site in different browsers.</t>
  </si>
  <si>
    <t>Should be run in different browsers.</t>
  </si>
  <si>
    <t>Found as per expectation.</t>
  </si>
  <si>
    <t>Browsers-Chrome, 
Internet Explorer, Mozilla Firefox,
Microsoft Edge,
Opera Mini.</t>
  </si>
  <si>
    <t>Passed</t>
  </si>
  <si>
    <t>Ali Express</t>
  </si>
  <si>
    <t>Register/Sign in</t>
  </si>
  <si>
    <t>1. Go to different browsers.
2. Search 'Ali Express' 3. Go to the website.</t>
  </si>
  <si>
    <t>Registration/Sign in</t>
  </si>
  <si>
    <t>Functional</t>
  </si>
  <si>
    <t>Verify registration with valid email.</t>
  </si>
  <si>
    <t>Should accept email address with correct format. System should proceed to next step (password/OTP/signup flow)</t>
  </si>
  <si>
    <t>Not as expected.</t>
  </si>
  <si>
    <t>ruk123@example.com</t>
  </si>
  <si>
    <t>Fail</t>
  </si>
  <si>
    <t>1. Goto the URL
https://www.aliexpress.com.bd/
2. Click on the Sign in/Register right corner.
3. Click the "Register" link                                 4. Insert an email.</t>
  </si>
  <si>
    <t>15/01/2026</t>
  </si>
  <si>
    <t>TC_001</t>
  </si>
  <si>
    <t>TC_002</t>
  </si>
  <si>
    <t>TC_003</t>
  </si>
  <si>
    <t>Social Login</t>
  </si>
  <si>
    <t>Verify signup using Google</t>
  </si>
  <si>
    <t>1. Click Google icon
2. Select Google account</t>
  </si>
  <si>
    <t>Valid Google account</t>
  </si>
  <si>
    <t>User should be signed in successfully</t>
  </si>
  <si>
    <t>Found as per expectations.</t>
  </si>
  <si>
    <t>Verify signup using Facebook</t>
  </si>
  <si>
    <t>Verify signup using X</t>
  </si>
  <si>
    <t>Verify signup using email icon</t>
  </si>
  <si>
    <t>Valid Facebook account</t>
  </si>
  <si>
    <t>Valid X account</t>
  </si>
  <si>
    <t>Valid E-mail account</t>
  </si>
  <si>
    <t>1. Click Facebook icon
2. Select Facebook account</t>
  </si>
  <si>
    <t>1. Click X icon
2. Select X account</t>
  </si>
  <si>
    <t>1. Click E-mail icon
2. Select E-mail account</t>
  </si>
  <si>
    <t>TC_004</t>
  </si>
  <si>
    <t>TC_005</t>
  </si>
  <si>
    <t>TC_006</t>
  </si>
  <si>
    <t>Registration</t>
  </si>
  <si>
    <t>Verify registration with already registered email.</t>
  </si>
  <si>
    <t>1. Goto the URL
https://www.aliexpress.com.bd/
2. Click on the Sign in/Register right corner.
3. Click the "Register" link                                 4. Insert an registered email.</t>
  </si>
  <si>
    <t>rukaiyahaque1229@gmail.com</t>
  </si>
  <si>
    <t>https://drive.google.com/drive/folders/1SF-LVFr7_RCbN0o7qzNBdNlLn_noha3X</t>
  </si>
  <si>
    <t>Test Case for Registration Module.</t>
  </si>
  <si>
    <t xml:space="preserve">     Rukeiya Haque</t>
  </si>
  <si>
    <t>TC_007</t>
  </si>
  <si>
    <t>TC_008</t>
  </si>
  <si>
    <t>Sign In</t>
  </si>
  <si>
    <t>Verify login with valid credentials.</t>
  </si>
  <si>
    <t>1. Goto the URL
https://www.aliexpress.com.bd/
2. Click on the Sign in/Register right corner.
3. Click the "Sign In" link                                 4. Insert an email and password.</t>
  </si>
  <si>
    <t>TC_011</t>
  </si>
  <si>
    <t>Login</t>
  </si>
  <si>
    <t>Found as expected</t>
  </si>
  <si>
    <t>TC_012</t>
  </si>
  <si>
    <t>Validation</t>
  </si>
  <si>
    <t>Verify login with incorrect password</t>
  </si>
  <si>
    <t>Error message should be displayed</t>
  </si>
  <si>
    <t>Not as expected</t>
  </si>
  <si>
    <t>Wrong password</t>
  </si>
  <si>
    <t>TC_013</t>
  </si>
  <si>
    <t>Verify login with unregistered email</t>
  </si>
  <si>
    <t>newuser@gmail.com</t>
  </si>
  <si>
    <t>TC_014</t>
  </si>
  <si>
    <t>UI</t>
  </si>
  <si>
    <t>Verify password visibility toggle</t>
  </si>
  <si>
    <t>Password should toggle visibility</t>
  </si>
  <si>
    <t>Valid password</t>
  </si>
  <si>
    <t>1. Goto the URL
https://www.aliexpress.com.bd/
2. Click on the Sign in/Register right corner.
 3.  Insert wrong password.                          4. Click Sign In.</t>
  </si>
  <si>
    <t>1. Goto the URL
https://www.aliexpress.com.bd/
2. Click on the Sign in/Register right corner.
 3.  Insert unregistered email.                                4. Click Enter.</t>
  </si>
  <si>
    <t>TC_009</t>
  </si>
  <si>
    <t>TC_010</t>
  </si>
  <si>
    <t>1. Goto the URL
https://www.aliexpress.com.bd/
2. Click on the Sign in/Register right corner.
 3.  Insert password.                                4. Click the eye icon.</t>
  </si>
  <si>
    <t>TC_017</t>
  </si>
  <si>
    <t>Verify Forgot Password functionality</t>
  </si>
  <si>
    <t>User should be redirected to reset password page</t>
  </si>
  <si>
    <t>Registered email</t>
  </si>
  <si>
    <t>Sign Out</t>
  </si>
  <si>
    <t>Verify user sign out</t>
  </si>
  <si>
    <t>User should be logged out successfully</t>
  </si>
  <si>
    <t>Logged in user</t>
  </si>
  <si>
    <t>Security</t>
  </si>
  <si>
    <t>Verify session termination after logout</t>
  </si>
  <si>
    <t>User should not access account after logout</t>
  </si>
  <si>
    <t>1. Goto the URL
https://www.aliexpress.com.bd/
2. Click on the Sign in/Register right corner.
 3.  Insert email.                                4. Click forgot password.</t>
  </si>
  <si>
    <t>1. Goto the URL
https://www.aliexpress.com.bd/
2. Signed In
 3. Click the log out icon.</t>
  </si>
  <si>
    <t>Sign in</t>
  </si>
  <si>
    <t>Test case for Sign in and Sign Out Module</t>
  </si>
  <si>
    <t>OTP</t>
  </si>
  <si>
    <t>Verify OTP is generated and sent</t>
  </si>
  <si>
    <t>OTP should be sent to registered email</t>
  </si>
  <si>
    <t>Verify OTP with valid code</t>
  </si>
  <si>
    <t>User should be verified successfully</t>
  </si>
  <si>
    <t>Correct OTP</t>
  </si>
  <si>
    <t>Verify OTP with invalid code</t>
  </si>
  <si>
    <t>Wrong OTP</t>
  </si>
  <si>
    <t>Verify OTP expiration handling</t>
  </si>
  <si>
    <t>System should show OTP expired message</t>
  </si>
  <si>
    <t>Expired OTP</t>
  </si>
  <si>
    <t>Test case for OTP.</t>
  </si>
  <si>
    <t>1. Goto the URL
https://www.aliexpress.com.bd/
2. Enter email
 3. Enter correct OTP        4. Click Sign In</t>
  </si>
  <si>
    <t>1. Goto the URL
https://www.aliexpress.com.bd/
2. Enter email
 3. Enter wrong OTP        4. Click Sign In</t>
  </si>
  <si>
    <t>1. Goto the URL
https://www.aliexpress.com.bd/
2. Enter email
 3. Enter expired OTP        4. Click Sign In</t>
  </si>
  <si>
    <t>System should show “Email already registered”.</t>
  </si>
  <si>
    <t>https://drive.google.com/file/d/1Y-smbSeHjGMLIPi3qxnbekrJ81yyaZF9/view?usp=drive_link</t>
  </si>
  <si>
    <t>https://drive.google.com/file/d/1DsMoWSPF3yAEyrfUznhs6iTCUPVR8SDT/view?usp=drive_link</t>
  </si>
  <si>
    <t>https://drive.google.com/file/d/1gnlZXOLtirv6u1M13PNPcNItlN4TogmT/view?usp=drive_link</t>
  </si>
  <si>
    <t>TC_015</t>
  </si>
  <si>
    <t>TC_016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</si>
</sst>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</font>
    <font>
      <sz val="10"/>
      <name val="Calibri"/>
    </font>
    <font>
      <sz val="11"/>
      <color rgb="FF000000"/>
      <name val="Calibri"/>
    </font>
    <font>
      <sz val="10"/>
      <color rgb="FF000000"/>
      <name val="Calibri"/>
    </font>
    <font>
      <sz val="10"/>
      <color rgb="FF000000"/>
      <name val="Verdana"/>
    </font>
    <font>
      <sz val="10"/>
      <color rgb="FFFF0000"/>
      <name val="Calibri"/>
    </font>
    <font>
      <b/>
      <sz val="10"/>
      <color theme="1"/>
      <name val="Verdana"/>
    </font>
    <font>
      <sz val="14"/>
      <color rgb="FF000000"/>
      <name val="Calibri"/>
    </font>
    <font>
      <b/>
      <sz val="10"/>
      <color rgb="FF000000"/>
      <name val="Verdana"/>
    </font>
    <font>
      <sz val="10"/>
      <color theme="1"/>
      <name val="Verdana"/>
    </font>
    <font>
      <b/>
      <sz val="10"/>
      <color rgb="FFFFFFFF"/>
      <name val="Verdana"/>
    </font>
    <font>
      <sz val="10"/>
      <color rgb="FF000000"/>
      <name val="Arial"/>
    </font>
    <font>
      <sz val="11"/>
      <color rgb="FF000000"/>
      <name val="Verdana"/>
    </font>
    <font>
      <b/>
      <sz val="11"/>
      <color rgb="FFFFFFFF"/>
      <name val="Times New Roman"/>
    </font>
    <font>
      <b/>
      <sz val="11"/>
      <color rgb="FFFFFFFF"/>
      <name val="Calibri"/>
    </font>
    <font>
      <b/>
      <sz val="10"/>
      <color rgb="FFFFFFFF"/>
      <name val="Calibri"/>
    </font>
    <font>
      <b/>
      <sz val="12"/>
      <color rgb="FFFFFFFF"/>
      <name val="Times New Roman"/>
    </font>
    <font>
      <b/>
      <sz val="12"/>
      <color theme="0"/>
      <name val="Calibri"/>
    </font>
    <font>
      <sz val="11"/>
      <color rgb="FF000000"/>
      <name val="Arial"/>
    </font>
    <font>
      <b/>
      <sz val="10"/>
      <color rgb="FFFF0000"/>
      <name val="Arial"/>
    </font>
    <font>
      <b/>
      <sz val="10"/>
      <color rgb="FF000000"/>
      <name val="Arial"/>
    </font>
    <font>
      <sz val="11"/>
      <color theme="1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FFFF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0"/>
      <name val="Times New Roman"/>
      <family val="1"/>
    </font>
  </fonts>
  <fills count="20">
    <fill>
      <patternFill patternType="none"/>
    </fill>
    <fill>
      <patternFill patternType="gray125"/>
    </fill>
    <fill>
      <patternFill patternType="solid">
        <fgColor rgb="FFFFD965"/>
        <bgColor rgb="FFFFD965"/>
      </patternFill>
    </fill>
    <fill>
      <patternFill patternType="solid">
        <fgColor rgb="FFC6D9F0"/>
        <bgColor rgb="FFC6D9F0"/>
      </patternFill>
    </fill>
    <fill>
      <patternFill patternType="solid">
        <fgColor rgb="FF00FF00"/>
        <bgColor rgb="FF00FF00"/>
      </patternFill>
    </fill>
    <fill>
      <patternFill patternType="solid">
        <fgColor rgb="FFD6E3BC"/>
        <bgColor rgb="FFD6E3BC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7B7B7B"/>
        <bgColor rgb="FF7B7B7B"/>
      </patternFill>
    </fill>
    <fill>
      <patternFill patternType="solid">
        <fgColor rgb="FF00B0F0"/>
        <bgColor rgb="FF00B0F0"/>
      </patternFill>
    </fill>
    <fill>
      <patternFill patternType="solid">
        <fgColor theme="5"/>
        <bgColor theme="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CCCCCC"/>
      </patternFill>
    </fill>
    <fill>
      <patternFill patternType="solid">
        <fgColor rgb="FFFF0000"/>
        <bgColor rgb="FFCCCCCC"/>
      </patternFill>
    </fill>
    <fill>
      <patternFill patternType="solid">
        <fgColor theme="0"/>
        <bgColor indexed="64"/>
      </patternFill>
    </fill>
    <fill>
      <patternFill patternType="solid">
        <fgColor theme="3"/>
        <bgColor theme="5"/>
      </patternFill>
    </fill>
    <fill>
      <patternFill patternType="solid">
        <fgColor theme="0"/>
        <bgColor rgb="FF7B7B7B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/>
        <bgColor indexed="64"/>
      </patternFill>
    </fill>
  </fills>
  <borders count="5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6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top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wrapText="1"/>
    </xf>
    <xf numFmtId="0" fontId="9" fillId="0" borderId="5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 wrapText="1"/>
    </xf>
    <xf numFmtId="0" fontId="12" fillId="6" borderId="6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0" fontId="11" fillId="8" borderId="7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wrapText="1"/>
    </xf>
    <xf numFmtId="0" fontId="15" fillId="10" borderId="10" xfId="0" applyFont="1" applyFill="1" applyBorder="1" applyAlignment="1">
      <alignment horizontal="center" vertical="center"/>
    </xf>
    <xf numFmtId="0" fontId="16" fillId="10" borderId="10" xfId="0" applyFont="1" applyFill="1" applyBorder="1" applyAlignment="1">
      <alignment horizontal="center" vertical="center"/>
    </xf>
    <xf numFmtId="0" fontId="15" fillId="10" borderId="10" xfId="0" applyFont="1" applyFill="1" applyBorder="1" applyAlignment="1">
      <alignment horizontal="center" vertical="center" wrapText="1"/>
    </xf>
    <xf numFmtId="0" fontId="15" fillId="10" borderId="10" xfId="0" applyFont="1" applyFill="1" applyBorder="1" applyAlignment="1">
      <alignment horizontal="left" vertical="center" wrapText="1"/>
    </xf>
    <xf numFmtId="0" fontId="17" fillId="10" borderId="10" xfId="0" applyFont="1" applyFill="1" applyBorder="1" applyAlignment="1">
      <alignment horizontal="center" vertical="center" wrapText="1"/>
    </xf>
    <xf numFmtId="0" fontId="18" fillId="10" borderId="10" xfId="0" applyFont="1" applyFill="1" applyBorder="1" applyAlignment="1">
      <alignment horizontal="center" vertical="center" wrapText="1"/>
    </xf>
    <xf numFmtId="0" fontId="19" fillId="10" borderId="10" xfId="0" applyFont="1" applyFill="1" applyBorder="1" applyAlignment="1">
      <alignment horizontal="center" vertical="center" wrapText="1"/>
    </xf>
    <xf numFmtId="0" fontId="18" fillId="10" borderId="10" xfId="0" applyFont="1" applyFill="1" applyBorder="1" applyAlignment="1">
      <alignment horizontal="center" vertical="center"/>
    </xf>
    <xf numFmtId="0" fontId="1" fillId="0" borderId="0" xfId="1" applyFill="1" applyAlignment="1">
      <alignment horizontal="center"/>
    </xf>
    <xf numFmtId="0" fontId="2" fillId="2" borderId="1" xfId="0" applyFont="1" applyFill="1" applyBorder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26" fillId="12" borderId="11" xfId="0" applyFont="1" applyFill="1" applyBorder="1" applyAlignment="1">
      <alignment horizontal="center" vertical="center" wrapText="1"/>
    </xf>
    <xf numFmtId="0" fontId="22" fillId="12" borderId="11" xfId="0" applyFont="1" applyFill="1" applyBorder="1" applyAlignment="1">
      <alignment horizontal="center" vertical="top" wrapText="1"/>
    </xf>
    <xf numFmtId="0" fontId="21" fillId="12" borderId="11" xfId="0" applyFont="1" applyFill="1" applyBorder="1" applyAlignment="1">
      <alignment horizontal="center" vertical="center" wrapText="1"/>
    </xf>
    <xf numFmtId="0" fontId="1" fillId="12" borderId="11" xfId="1" applyFill="1" applyBorder="1" applyAlignment="1">
      <alignment horizontal="center" vertical="center" wrapText="1"/>
    </xf>
    <xf numFmtId="0" fontId="25" fillId="12" borderId="11" xfId="0" applyFont="1" applyFill="1" applyBorder="1" applyAlignment="1">
      <alignment horizontal="center" vertical="top" wrapText="1"/>
    </xf>
    <xf numFmtId="0" fontId="28" fillId="12" borderId="12" xfId="0" applyFont="1" applyFill="1" applyBorder="1" applyAlignment="1">
      <alignment horizontal="center" vertical="center" wrapText="1"/>
    </xf>
    <xf numFmtId="0" fontId="26" fillId="12" borderId="11" xfId="0" applyFont="1" applyFill="1" applyBorder="1" applyAlignment="1">
      <alignment horizontal="left" vertical="center" wrapText="1"/>
    </xf>
    <xf numFmtId="0" fontId="27" fillId="12" borderId="12" xfId="0" applyFont="1" applyFill="1" applyBorder="1" applyAlignment="1">
      <alignment horizontal="center" vertical="center"/>
    </xf>
    <xf numFmtId="0" fontId="30" fillId="12" borderId="11" xfId="1" applyFont="1" applyFill="1" applyBorder="1" applyAlignment="1">
      <alignment horizontal="center" vertical="center" wrapText="1"/>
    </xf>
    <xf numFmtId="0" fontId="27" fillId="12" borderId="13" xfId="0" applyFont="1" applyFill="1" applyBorder="1" applyAlignment="1">
      <alignment horizontal="center" vertical="center"/>
    </xf>
    <xf numFmtId="0" fontId="28" fillId="12" borderId="14" xfId="0" applyFont="1" applyFill="1" applyBorder="1" applyAlignment="1">
      <alignment horizontal="center" vertical="center" wrapText="1"/>
    </xf>
    <xf numFmtId="0" fontId="26" fillId="12" borderId="2" xfId="0" applyFont="1" applyFill="1" applyBorder="1" applyAlignment="1">
      <alignment horizontal="left" vertical="center" wrapText="1"/>
    </xf>
    <xf numFmtId="0" fontId="28" fillId="12" borderId="16" xfId="0" applyFont="1" applyFill="1" applyBorder="1" applyAlignment="1">
      <alignment horizontal="center" vertical="center" wrapText="1"/>
    </xf>
    <xf numFmtId="0" fontId="29" fillId="12" borderId="15" xfId="0" applyFont="1" applyFill="1" applyBorder="1" applyAlignment="1">
      <alignment horizontal="center" vertical="center"/>
    </xf>
    <xf numFmtId="0" fontId="29" fillId="12" borderId="12" xfId="0" applyFont="1" applyFill="1" applyBorder="1" applyAlignment="1">
      <alignment horizontal="center" vertical="center"/>
    </xf>
    <xf numFmtId="0" fontId="1" fillId="0" borderId="0" xfId="1"/>
    <xf numFmtId="0" fontId="28" fillId="12" borderId="17" xfId="0" applyFont="1" applyFill="1" applyBorder="1" applyAlignment="1">
      <alignment horizontal="center" vertical="center" wrapText="1"/>
    </xf>
    <xf numFmtId="0" fontId="28" fillId="12" borderId="18" xfId="0" applyFont="1" applyFill="1" applyBorder="1" applyAlignment="1">
      <alignment horizontal="center" vertical="center" wrapText="1"/>
    </xf>
    <xf numFmtId="0" fontId="29" fillId="12" borderId="19" xfId="0" applyFont="1" applyFill="1" applyBorder="1" applyAlignment="1">
      <alignment horizontal="center" vertical="center"/>
    </xf>
    <xf numFmtId="0" fontId="26" fillId="12" borderId="20" xfId="0" applyFont="1" applyFill="1" applyBorder="1" applyAlignment="1">
      <alignment horizontal="left" vertical="center" wrapText="1"/>
    </xf>
    <xf numFmtId="0" fontId="26" fillId="12" borderId="12" xfId="0" applyFont="1" applyFill="1" applyBorder="1" applyAlignment="1">
      <alignment horizontal="center" vertical="center" wrapText="1"/>
    </xf>
    <xf numFmtId="0" fontId="30" fillId="12" borderId="12" xfId="1" applyFont="1" applyFill="1" applyBorder="1" applyAlignment="1">
      <alignment horizontal="center" vertical="center" wrapText="1"/>
    </xf>
    <xf numFmtId="0" fontId="25" fillId="12" borderId="12" xfId="0" applyFont="1" applyFill="1" applyBorder="1" applyAlignment="1">
      <alignment horizontal="center" vertical="top" wrapText="1"/>
    </xf>
    <xf numFmtId="0" fontId="21" fillId="12" borderId="12" xfId="0" applyFont="1" applyFill="1" applyBorder="1" applyAlignment="1">
      <alignment horizontal="center" vertical="center" wrapText="1"/>
    </xf>
    <xf numFmtId="0" fontId="22" fillId="12" borderId="12" xfId="0" applyFont="1" applyFill="1" applyBorder="1" applyAlignment="1">
      <alignment horizontal="center" vertical="top" wrapText="1"/>
    </xf>
    <xf numFmtId="0" fontId="27" fillId="12" borderId="21" xfId="0" applyFont="1" applyFill="1" applyBorder="1" applyAlignment="1">
      <alignment horizontal="center" vertical="center"/>
    </xf>
    <xf numFmtId="0" fontId="28" fillId="12" borderId="22" xfId="0" applyFont="1" applyFill="1" applyBorder="1" applyAlignment="1">
      <alignment horizontal="center" vertical="center" wrapText="1"/>
    </xf>
    <xf numFmtId="0" fontId="28" fillId="12" borderId="23" xfId="0" applyFont="1" applyFill="1" applyBorder="1" applyAlignment="1">
      <alignment horizontal="center" vertical="center" wrapText="1"/>
    </xf>
    <xf numFmtId="0" fontId="26" fillId="12" borderId="24" xfId="0" applyFont="1" applyFill="1" applyBorder="1" applyAlignment="1">
      <alignment horizontal="left" vertical="center" wrapText="1"/>
    </xf>
    <xf numFmtId="0" fontId="26" fillId="12" borderId="25" xfId="0" applyFont="1" applyFill="1" applyBorder="1" applyAlignment="1">
      <alignment horizontal="center" vertical="center" wrapText="1"/>
    </xf>
    <xf numFmtId="0" fontId="30" fillId="12" borderId="25" xfId="1" applyFont="1" applyFill="1" applyBorder="1" applyAlignment="1">
      <alignment horizontal="center" vertical="center" wrapText="1"/>
    </xf>
    <xf numFmtId="0" fontId="25" fillId="12" borderId="25" xfId="0" applyFont="1" applyFill="1" applyBorder="1" applyAlignment="1">
      <alignment horizontal="center" vertical="top" wrapText="1"/>
    </xf>
    <xf numFmtId="0" fontId="21" fillId="12" borderId="25" xfId="0" applyFont="1" applyFill="1" applyBorder="1" applyAlignment="1">
      <alignment horizontal="center" vertical="center" wrapText="1"/>
    </xf>
    <xf numFmtId="0" fontId="22" fillId="12" borderId="25" xfId="0" applyFont="1" applyFill="1" applyBorder="1" applyAlignment="1">
      <alignment horizontal="center" vertical="top" wrapText="1"/>
    </xf>
    <xf numFmtId="0" fontId="0" fillId="0" borderId="26" xfId="0" applyBorder="1"/>
    <xf numFmtId="0" fontId="27" fillId="11" borderId="27" xfId="0" applyFont="1" applyFill="1" applyBorder="1" applyAlignment="1">
      <alignment horizontal="center" vertical="center" wrapText="1"/>
    </xf>
    <xf numFmtId="0" fontId="4" fillId="11" borderId="27" xfId="0" applyFont="1" applyFill="1" applyBorder="1" applyAlignment="1">
      <alignment horizontal="center" vertical="center" wrapText="1"/>
    </xf>
    <xf numFmtId="0" fontId="2" fillId="11" borderId="27" xfId="0" applyFont="1" applyFill="1" applyBorder="1" applyAlignment="1">
      <alignment horizontal="center" vertical="center" wrapText="1"/>
    </xf>
    <xf numFmtId="0" fontId="26" fillId="11" borderId="27" xfId="0" applyFont="1" applyFill="1" applyBorder="1" applyAlignment="1">
      <alignment horizontal="left" vertical="center" wrapText="1"/>
    </xf>
    <xf numFmtId="0" fontId="20" fillId="11" borderId="27" xfId="0" applyFont="1" applyFill="1" applyBorder="1" applyAlignment="1">
      <alignment horizontal="center" vertical="center" wrapText="1"/>
    </xf>
    <xf numFmtId="0" fontId="13" fillId="11" borderId="27" xfId="0" applyFont="1" applyFill="1" applyBorder="1" applyAlignment="1">
      <alignment horizontal="center" vertical="center" wrapText="1"/>
    </xf>
    <xf numFmtId="0" fontId="26" fillId="11" borderId="27" xfId="0" applyFont="1" applyFill="1" applyBorder="1" applyAlignment="1">
      <alignment horizontal="center" vertical="top" wrapText="1"/>
    </xf>
    <xf numFmtId="0" fontId="21" fillId="11" borderId="27" xfId="0" applyFont="1" applyFill="1" applyBorder="1" applyAlignment="1">
      <alignment horizontal="center" vertical="center" wrapText="1"/>
    </xf>
    <xf numFmtId="0" fontId="22" fillId="11" borderId="27" xfId="0" applyFont="1" applyFill="1" applyBorder="1" applyAlignment="1">
      <alignment horizontal="center" vertical="top" wrapText="1"/>
    </xf>
    <xf numFmtId="0" fontId="8" fillId="9" borderId="2" xfId="0" applyFont="1" applyFill="1" applyBorder="1" applyAlignment="1">
      <alignment horizontal="center" vertical="center" wrapText="1"/>
    </xf>
    <xf numFmtId="0" fontId="5" fillId="16" borderId="0" xfId="0" applyFont="1" applyFill="1" applyBorder="1" applyAlignment="1">
      <alignment horizontal="center" vertical="top"/>
    </xf>
    <xf numFmtId="0" fontId="6" fillId="16" borderId="0" xfId="0" applyFont="1" applyFill="1" applyBorder="1" applyAlignment="1">
      <alignment horizontal="left"/>
    </xf>
    <xf numFmtId="0" fontId="7" fillId="16" borderId="0" xfId="0" applyFont="1" applyFill="1" applyBorder="1" applyAlignment="1">
      <alignment horizontal="center" vertical="center" wrapText="1"/>
    </xf>
    <xf numFmtId="0" fontId="6" fillId="16" borderId="0" xfId="0" applyFont="1" applyFill="1" applyBorder="1" applyAlignment="1">
      <alignment wrapText="1"/>
    </xf>
    <xf numFmtId="0" fontId="2" fillId="2" borderId="13" xfId="0" applyFont="1" applyFill="1" applyBorder="1" applyAlignment="1">
      <alignment vertical="center"/>
    </xf>
    <xf numFmtId="0" fontId="3" fillId="0" borderId="20" xfId="0" applyFont="1" applyBorder="1" applyAlignment="1"/>
    <xf numFmtId="0" fontId="4" fillId="0" borderId="29" xfId="0" applyFont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31" fillId="15" borderId="21" xfId="0" applyFont="1" applyFill="1" applyBorder="1" applyAlignment="1">
      <alignment horizontal="center" vertical="center"/>
    </xf>
    <xf numFmtId="0" fontId="15" fillId="15" borderId="26" xfId="0" applyFont="1" applyFill="1" applyBorder="1" applyAlignment="1">
      <alignment horizontal="center" vertical="center"/>
    </xf>
    <xf numFmtId="0" fontId="15" fillId="15" borderId="2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8" fillId="3" borderId="3" xfId="0" applyFont="1" applyFill="1" applyBorder="1" applyAlignment="1">
      <alignment horizontal="center" wrapText="1"/>
    </xf>
    <xf numFmtId="0" fontId="3" fillId="0" borderId="4" xfId="0" applyFont="1" applyBorder="1"/>
    <xf numFmtId="0" fontId="2" fillId="8" borderId="21" xfId="0" applyFont="1" applyFill="1" applyBorder="1" applyAlignment="1">
      <alignment horizontal="center" vertical="center" wrapText="1"/>
    </xf>
    <xf numFmtId="0" fontId="3" fillId="0" borderId="26" xfId="0" applyFont="1" applyBorder="1"/>
    <xf numFmtId="0" fontId="13" fillId="8" borderId="26" xfId="0" applyFont="1" applyFill="1" applyBorder="1" applyAlignment="1">
      <alignment vertical="center" wrapText="1"/>
    </xf>
    <xf numFmtId="0" fontId="3" fillId="0" borderId="28" xfId="0" applyFont="1" applyBorder="1"/>
    <xf numFmtId="0" fontId="0" fillId="0" borderId="31" xfId="0" applyBorder="1"/>
    <xf numFmtId="0" fontId="0" fillId="0" borderId="33" xfId="0" applyBorder="1"/>
    <xf numFmtId="0" fontId="0" fillId="0" borderId="0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18" borderId="30" xfId="0" applyFill="1" applyBorder="1" applyAlignment="1">
      <alignment horizontal="center"/>
    </xf>
    <xf numFmtId="0" fontId="0" fillId="18" borderId="31" xfId="0" applyFill="1" applyBorder="1" applyAlignment="1">
      <alignment horizontal="center"/>
    </xf>
    <xf numFmtId="0" fontId="0" fillId="18" borderId="32" xfId="0" applyFill="1" applyBorder="1" applyAlignment="1">
      <alignment horizontal="center"/>
    </xf>
    <xf numFmtId="0" fontId="0" fillId="18" borderId="33" xfId="0" applyFill="1" applyBorder="1" applyAlignment="1">
      <alignment horizontal="center"/>
    </xf>
    <xf numFmtId="0" fontId="0" fillId="18" borderId="0" xfId="0" applyFill="1" applyBorder="1" applyAlignment="1">
      <alignment horizontal="center"/>
    </xf>
    <xf numFmtId="0" fontId="0" fillId="18" borderId="34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27" fillId="12" borderId="30" xfId="0" applyFont="1" applyFill="1" applyBorder="1" applyAlignment="1">
      <alignment horizontal="center" vertical="center"/>
    </xf>
    <xf numFmtId="0" fontId="28" fillId="12" borderId="38" xfId="0" applyFont="1" applyFill="1" applyBorder="1" applyAlignment="1">
      <alignment horizontal="center" vertical="center" wrapText="1"/>
    </xf>
    <xf numFmtId="0" fontId="28" fillId="12" borderId="39" xfId="0" applyFont="1" applyFill="1" applyBorder="1" applyAlignment="1">
      <alignment horizontal="center" vertical="center" wrapText="1"/>
    </xf>
    <xf numFmtId="0" fontId="26" fillId="12" borderId="40" xfId="0" applyFont="1" applyFill="1" applyBorder="1" applyAlignment="1">
      <alignment horizontal="left" vertical="center" wrapText="1"/>
    </xf>
    <xf numFmtId="0" fontId="26" fillId="12" borderId="41" xfId="0" applyFont="1" applyFill="1" applyBorder="1" applyAlignment="1">
      <alignment horizontal="center" vertical="center" wrapText="1"/>
    </xf>
    <xf numFmtId="0" fontId="30" fillId="12" borderId="41" xfId="1" applyFont="1" applyFill="1" applyBorder="1" applyAlignment="1">
      <alignment horizontal="center" vertical="center" wrapText="1"/>
    </xf>
    <xf numFmtId="0" fontId="25" fillId="12" borderId="41" xfId="0" applyFont="1" applyFill="1" applyBorder="1" applyAlignment="1">
      <alignment horizontal="center" vertical="top" wrapText="1"/>
    </xf>
    <xf numFmtId="0" fontId="21" fillId="12" borderId="41" xfId="0" applyFont="1" applyFill="1" applyBorder="1" applyAlignment="1">
      <alignment horizontal="center" vertical="center" wrapText="1"/>
    </xf>
    <xf numFmtId="0" fontId="22" fillId="12" borderId="41" xfId="0" applyFont="1" applyFill="1" applyBorder="1" applyAlignment="1">
      <alignment horizontal="center" vertical="top" wrapText="1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3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32" fillId="0" borderId="43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32" fillId="0" borderId="17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32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 wrapText="1"/>
    </xf>
    <xf numFmtId="0" fontId="32" fillId="0" borderId="14" xfId="0" applyFont="1" applyBorder="1" applyAlignment="1">
      <alignment horizontal="center" vertical="center"/>
    </xf>
    <xf numFmtId="0" fontId="34" fillId="19" borderId="31" xfId="0" applyFont="1" applyFill="1" applyBorder="1" applyAlignment="1">
      <alignment horizontal="center" vertical="center"/>
    </xf>
    <xf numFmtId="0" fontId="0" fillId="19" borderId="31" xfId="0" applyFill="1" applyBorder="1" applyAlignment="1">
      <alignment horizontal="center" vertical="center"/>
    </xf>
    <xf numFmtId="0" fontId="1" fillId="0" borderId="17" xfId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17" borderId="0" xfId="0" applyFill="1" applyAlignment="1"/>
    <xf numFmtId="0" fontId="34" fillId="17" borderId="26" xfId="0" applyFont="1" applyFill="1" applyBorder="1" applyAlignment="1">
      <alignment horizontal="center"/>
    </xf>
    <xf numFmtId="0" fontId="0" fillId="14" borderId="0" xfId="0" applyFill="1" applyBorder="1" applyAlignment="1"/>
    <xf numFmtId="0" fontId="0" fillId="14" borderId="0" xfId="0" applyFill="1" applyBorder="1"/>
    <xf numFmtId="0" fontId="23" fillId="0" borderId="50" xfId="0" applyFont="1" applyBorder="1" applyAlignment="1">
      <alignment horizontal="center" vertical="center" wrapText="1"/>
    </xf>
    <xf numFmtId="0" fontId="24" fillId="13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23" fillId="0" borderId="49" xfId="0" applyFont="1" applyBorder="1" applyAlignment="1">
      <alignment horizontal="center" vertical="center" wrapText="1"/>
    </xf>
    <xf numFmtId="0" fontId="23" fillId="0" borderId="51" xfId="0" applyFont="1" applyBorder="1" applyAlignment="1">
      <alignment horizontal="center" vertical="center" wrapText="1"/>
    </xf>
    <xf numFmtId="0" fontId="33" fillId="0" borderId="52" xfId="0" applyFont="1" applyBorder="1" applyAlignment="1">
      <alignment horizontal="center" vertical="center" wrapText="1"/>
    </xf>
    <xf numFmtId="0" fontId="24" fillId="13" borderId="18" xfId="0" applyFont="1" applyFill="1" applyBorder="1" applyAlignment="1">
      <alignment horizontal="center" vertical="center"/>
    </xf>
    <xf numFmtId="0" fontId="33" fillId="0" borderId="16" xfId="0" applyFont="1" applyBorder="1" applyAlignment="1">
      <alignment horizontal="center" vertical="center" wrapText="1"/>
    </xf>
    <xf numFmtId="0" fontId="10" fillId="11" borderId="53" xfId="0" applyFont="1" applyFill="1" applyBorder="1" applyAlignment="1">
      <alignment horizontal="center" vertical="center" wrapText="1"/>
    </xf>
    <xf numFmtId="0" fontId="10" fillId="12" borderId="54" xfId="0" applyFont="1" applyFill="1" applyBorder="1" applyAlignment="1">
      <alignment horizontal="center" vertical="center"/>
    </xf>
    <xf numFmtId="0" fontId="10" fillId="12" borderId="55" xfId="0" applyFont="1" applyFill="1" applyBorder="1" applyAlignment="1">
      <alignment horizontal="center" vertical="center"/>
    </xf>
    <xf numFmtId="0" fontId="10" fillId="12" borderId="15" xfId="0" applyFont="1" applyFill="1" applyBorder="1" applyAlignment="1">
      <alignment horizontal="center" vertical="center"/>
    </xf>
    <xf numFmtId="0" fontId="0" fillId="17" borderId="56" xfId="0" applyFill="1" applyBorder="1" applyAlignment="1"/>
    <xf numFmtId="0" fontId="0" fillId="0" borderId="56" xfId="0" applyBorder="1"/>
    <xf numFmtId="0" fontId="0" fillId="0" borderId="15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54"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93C47D"/>
          <bgColor rgb="FF93C47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162884</xdr:colOff>
      <xdr:row>38</xdr:row>
      <xdr:rowOff>80991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7798E4-B7D2-40F0-88FB-1D30A3464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868484" cy="70304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drive.google.com/drive/folders/1SF-LVFr7_RCbN0o7qzNBdNlLn_noha3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rukaiyahaque1229@g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ruk123@example.com" TargetMode="External"/><Relationship Id="rId1" Type="http://schemas.openxmlformats.org/officeDocument/2006/relationships/hyperlink" Target="https://www.aliexpress.com/" TargetMode="External"/><Relationship Id="rId6" Type="http://schemas.openxmlformats.org/officeDocument/2006/relationships/hyperlink" Target="https://drive.google.com/file/d/1DsMoWSPF3yAEyrfUznhs6iTCUPVR8SDT/view?usp=drive_link" TargetMode="External"/><Relationship Id="rId5" Type="http://schemas.openxmlformats.org/officeDocument/2006/relationships/hyperlink" Target="https://drive.google.com/file/d/1gnlZXOLtirv6u1M13PNPcNItlN4TogmT/view?usp=drive_link" TargetMode="External"/><Relationship Id="rId4" Type="http://schemas.openxmlformats.org/officeDocument/2006/relationships/hyperlink" Target="https://drive.google.com/file/d/1Y-smbSeHjGMLIPi3qxnbekrJ81yyaZF9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03815-691F-48DA-8327-FF3C96BE38B1}">
  <dimension ref="M7"/>
  <sheetViews>
    <sheetView workbookViewId="0">
      <selection activeCell="M7" sqref="M7"/>
    </sheetView>
  </sheetViews>
  <sheetFormatPr defaultRowHeight="14.4" x14ac:dyDescent="0.3"/>
  <sheetData>
    <row r="7" spans="13:13" x14ac:dyDescent="0.3">
      <c r="M7" s="49" t="s">
        <v>72</v>
      </c>
    </row>
  </sheetData>
  <hyperlinks>
    <hyperlink ref="M7" r:id="rId1" xr:uid="{87F603E1-1EB7-4671-8814-6FA721A74DCB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8EF60-BCFA-43C5-BC02-D1B72DFE353D}">
  <dimension ref="A1:CY28"/>
  <sheetViews>
    <sheetView tabSelected="1" topLeftCell="A6" zoomScale="92" zoomScaleNormal="92" workbookViewId="0">
      <selection activeCell="M6" sqref="M6"/>
    </sheetView>
  </sheetViews>
  <sheetFormatPr defaultRowHeight="14.4" x14ac:dyDescent="0.3"/>
  <cols>
    <col min="1" max="1" width="16.77734375" customWidth="1"/>
    <col min="2" max="2" width="16.44140625" customWidth="1"/>
    <col min="3" max="3" width="30.44140625" customWidth="1"/>
    <col min="4" max="4" width="27.21875" customWidth="1"/>
    <col min="5" max="5" width="39.77734375" customWidth="1"/>
    <col min="6" max="6" width="25.21875" customWidth="1"/>
    <col min="7" max="7" width="20.5546875" customWidth="1"/>
    <col min="8" max="8" width="24.109375" customWidth="1"/>
    <col min="9" max="9" width="22.44140625" customWidth="1"/>
    <col min="10" max="10" width="31.88671875" customWidth="1"/>
    <col min="12" max="12" width="16.21875" customWidth="1"/>
    <col min="13" max="13" width="21.88671875" customWidth="1"/>
  </cols>
  <sheetData>
    <row r="1" spans="1:103" ht="15" thickBot="1" x14ac:dyDescent="0.35">
      <c r="A1" s="90" t="s">
        <v>0</v>
      </c>
      <c r="B1" s="91"/>
      <c r="C1" s="31" t="s">
        <v>35</v>
      </c>
      <c r="D1" s="1" t="s">
        <v>1</v>
      </c>
      <c r="E1" s="2" t="s">
        <v>46</v>
      </c>
      <c r="F1" s="1" t="s">
        <v>2</v>
      </c>
      <c r="G1" s="2" t="str">
        <f>G2</f>
        <v xml:space="preserve"> - -</v>
      </c>
      <c r="H1" s="3"/>
      <c r="I1" s="4"/>
      <c r="J1" s="5"/>
      <c r="K1" s="6"/>
      <c r="L1" s="92" t="s">
        <v>3</v>
      </c>
      <c r="M1" s="93"/>
    </row>
    <row r="2" spans="1:103" ht="18.600000000000001" thickBot="1" x14ac:dyDescent="0.35">
      <c r="A2" s="90" t="s">
        <v>4</v>
      </c>
      <c r="B2" s="91"/>
      <c r="C2" s="7" t="s">
        <v>36</v>
      </c>
      <c r="D2" s="8" t="s">
        <v>5</v>
      </c>
      <c r="E2" s="9" t="s">
        <v>6</v>
      </c>
      <c r="F2" s="8" t="s">
        <v>7</v>
      </c>
      <c r="G2" s="10" t="s">
        <v>8</v>
      </c>
      <c r="H2" s="3"/>
      <c r="I2" s="4"/>
      <c r="J2" s="5"/>
      <c r="K2" s="6"/>
      <c r="L2" s="11" t="s">
        <v>9</v>
      </c>
      <c r="M2" s="12">
        <f>COUNTIF(L9:L92, "Passed")</f>
        <v>15</v>
      </c>
    </row>
    <row r="3" spans="1:103" ht="15" thickBot="1" x14ac:dyDescent="0.35">
      <c r="A3" s="32"/>
      <c r="B3" s="32"/>
      <c r="C3" s="32"/>
      <c r="D3" s="32"/>
      <c r="E3" s="32"/>
      <c r="F3" s="33"/>
      <c r="G3" s="10"/>
      <c r="H3" s="3"/>
      <c r="I3" s="4"/>
      <c r="J3" s="5"/>
      <c r="K3" s="6"/>
      <c r="L3" s="13" t="s">
        <v>10</v>
      </c>
      <c r="M3" s="12">
        <v>3</v>
      </c>
    </row>
    <row r="4" spans="1:103" ht="15" thickBot="1" x14ac:dyDescent="0.35">
      <c r="A4" s="83"/>
      <c r="B4" s="84"/>
      <c r="C4" s="85"/>
      <c r="D4" s="86"/>
      <c r="E4" s="85"/>
      <c r="F4" s="86"/>
      <c r="G4" s="85"/>
      <c r="H4" s="3"/>
      <c r="I4" s="4"/>
      <c r="J4" s="5"/>
      <c r="K4" s="6"/>
      <c r="L4" s="14" t="s">
        <v>11</v>
      </c>
      <c r="M4" s="12">
        <f>COUNTIF(L7:L518, "Not Executed")</f>
        <v>0</v>
      </c>
    </row>
    <row r="5" spans="1:103" ht="15" thickBot="1" x14ac:dyDescent="0.35">
      <c r="A5" s="94" t="s">
        <v>12</v>
      </c>
      <c r="B5" s="95"/>
      <c r="C5" s="96" t="s">
        <v>74</v>
      </c>
      <c r="D5" s="95"/>
      <c r="E5" s="95"/>
      <c r="F5" s="95"/>
      <c r="G5" s="97"/>
      <c r="H5" s="79"/>
      <c r="I5" s="80"/>
      <c r="J5" s="81"/>
      <c r="K5" s="82"/>
      <c r="L5" s="78" t="s">
        <v>13</v>
      </c>
      <c r="M5" s="15">
        <f>COUNTIF(L7:L518, "Out of Scope")</f>
        <v>0</v>
      </c>
    </row>
    <row r="6" spans="1:103" x14ac:dyDescent="0.3">
      <c r="A6" s="16"/>
      <c r="B6" s="17"/>
      <c r="C6" s="18"/>
      <c r="D6" s="19"/>
      <c r="E6" s="20"/>
      <c r="F6" s="16"/>
      <c r="G6" s="16"/>
      <c r="H6" s="3"/>
      <c r="I6" s="4"/>
      <c r="J6" s="5"/>
      <c r="K6" s="6"/>
      <c r="L6" s="21" t="s">
        <v>14</v>
      </c>
      <c r="M6" s="22">
        <f>SUM(M2:M5)</f>
        <v>18</v>
      </c>
    </row>
    <row r="7" spans="1:103" ht="47.4" thickBot="1" x14ac:dyDescent="0.35">
      <c r="A7" s="23" t="s">
        <v>15</v>
      </c>
      <c r="B7" s="24" t="s">
        <v>16</v>
      </c>
      <c r="C7" s="25" t="s">
        <v>17</v>
      </c>
      <c r="D7" s="23" t="s">
        <v>18</v>
      </c>
      <c r="E7" s="26" t="s">
        <v>19</v>
      </c>
      <c r="F7" s="26" t="s">
        <v>20</v>
      </c>
      <c r="G7" s="25" t="s">
        <v>21</v>
      </c>
      <c r="H7" s="27" t="s">
        <v>22</v>
      </c>
      <c r="I7" s="28" t="s">
        <v>23</v>
      </c>
      <c r="J7" s="29" t="s">
        <v>24</v>
      </c>
      <c r="K7" s="28" t="s">
        <v>25</v>
      </c>
      <c r="L7" s="30" t="s">
        <v>26</v>
      </c>
      <c r="M7" s="30" t="s">
        <v>27</v>
      </c>
    </row>
    <row r="8" spans="1:103" ht="35.4" customHeight="1" thickBot="1" x14ac:dyDescent="0.35">
      <c r="A8" s="87" t="s">
        <v>73</v>
      </c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9"/>
    </row>
    <row r="9" spans="1:103" ht="66.599999999999994" thickBot="1" x14ac:dyDescent="0.35">
      <c r="A9" s="69" t="s">
        <v>47</v>
      </c>
      <c r="B9" s="70" t="s">
        <v>28</v>
      </c>
      <c r="C9" s="71" t="s">
        <v>29</v>
      </c>
      <c r="D9" s="71" t="s">
        <v>28</v>
      </c>
      <c r="E9" s="72" t="s">
        <v>30</v>
      </c>
      <c r="F9" s="73" t="s">
        <v>31</v>
      </c>
      <c r="G9" s="73" t="s">
        <v>32</v>
      </c>
      <c r="H9" s="74" t="s">
        <v>33</v>
      </c>
      <c r="I9" s="75" t="s">
        <v>37</v>
      </c>
      <c r="J9" s="76"/>
      <c r="K9" s="77"/>
      <c r="L9" s="150" t="s">
        <v>34</v>
      </c>
      <c r="M9" s="159"/>
    </row>
    <row r="10" spans="1:103" ht="93" thickBot="1" x14ac:dyDescent="0.35">
      <c r="A10" s="41" t="s">
        <v>48</v>
      </c>
      <c r="B10" s="39" t="s">
        <v>38</v>
      </c>
      <c r="C10" s="39" t="s">
        <v>39</v>
      </c>
      <c r="D10" s="48" t="s">
        <v>68</v>
      </c>
      <c r="E10" s="40" t="s">
        <v>40</v>
      </c>
      <c r="F10" s="34" t="s">
        <v>41</v>
      </c>
      <c r="G10" s="34" t="s">
        <v>42</v>
      </c>
      <c r="H10" s="37" t="s">
        <v>43</v>
      </c>
      <c r="I10" s="38" t="s">
        <v>45</v>
      </c>
      <c r="J10" s="37" t="s">
        <v>133</v>
      </c>
      <c r="K10" s="35"/>
      <c r="L10" s="151" t="s">
        <v>44</v>
      </c>
      <c r="M10" s="160"/>
    </row>
    <row r="11" spans="1:103" ht="106.2" thickBot="1" x14ac:dyDescent="0.35">
      <c r="A11" s="41" t="s">
        <v>48</v>
      </c>
      <c r="B11" s="39"/>
      <c r="C11" s="39" t="s">
        <v>39</v>
      </c>
      <c r="D11" s="48" t="s">
        <v>68</v>
      </c>
      <c r="E11" s="40" t="s">
        <v>69</v>
      </c>
      <c r="F11" s="34" t="s">
        <v>132</v>
      </c>
      <c r="G11" s="34" t="s">
        <v>42</v>
      </c>
      <c r="H11" s="37" t="s">
        <v>71</v>
      </c>
      <c r="I11" s="38" t="s">
        <v>70</v>
      </c>
      <c r="J11" s="37" t="s">
        <v>135</v>
      </c>
      <c r="K11" s="35"/>
      <c r="L11" s="151" t="s">
        <v>44</v>
      </c>
      <c r="M11" s="160"/>
    </row>
    <row r="12" spans="1:103" ht="59.4" customHeight="1" thickBot="1" x14ac:dyDescent="0.35">
      <c r="A12" s="43" t="s">
        <v>49</v>
      </c>
      <c r="B12" s="44"/>
      <c r="C12" s="46" t="s">
        <v>39</v>
      </c>
      <c r="D12" s="47" t="s">
        <v>50</v>
      </c>
      <c r="E12" s="45" t="s">
        <v>51</v>
      </c>
      <c r="F12" s="34" t="s">
        <v>54</v>
      </c>
      <c r="G12" s="34" t="s">
        <v>55</v>
      </c>
      <c r="H12" s="42" t="s">
        <v>53</v>
      </c>
      <c r="I12" s="38" t="s">
        <v>52</v>
      </c>
      <c r="J12" s="36"/>
      <c r="K12" s="35"/>
      <c r="L12" s="152" t="s">
        <v>34</v>
      </c>
      <c r="M12" s="160"/>
    </row>
    <row r="13" spans="1:103" ht="59.4" customHeight="1" thickBot="1" x14ac:dyDescent="0.35">
      <c r="A13" s="43" t="s">
        <v>65</v>
      </c>
      <c r="B13" s="50"/>
      <c r="C13" s="51" t="s">
        <v>39</v>
      </c>
      <c r="D13" s="52" t="s">
        <v>50</v>
      </c>
      <c r="E13" s="53" t="s">
        <v>56</v>
      </c>
      <c r="F13" s="54" t="s">
        <v>54</v>
      </c>
      <c r="G13" s="54" t="s">
        <v>55</v>
      </c>
      <c r="H13" s="55" t="s">
        <v>59</v>
      </c>
      <c r="I13" s="56" t="s">
        <v>62</v>
      </c>
      <c r="J13" s="57"/>
      <c r="K13" s="58"/>
      <c r="L13" s="153" t="s">
        <v>34</v>
      </c>
      <c r="M13" s="161"/>
    </row>
    <row r="14" spans="1:103" s="68" customFormat="1" ht="59.4" customHeight="1" thickBot="1" x14ac:dyDescent="0.35">
      <c r="A14" s="59" t="s">
        <v>66</v>
      </c>
      <c r="B14" s="60"/>
      <c r="C14" s="61" t="s">
        <v>39</v>
      </c>
      <c r="D14" s="47" t="s">
        <v>50</v>
      </c>
      <c r="E14" s="62" t="s">
        <v>57</v>
      </c>
      <c r="F14" s="63" t="s">
        <v>54</v>
      </c>
      <c r="G14" s="63" t="s">
        <v>55</v>
      </c>
      <c r="H14" s="64" t="s">
        <v>60</v>
      </c>
      <c r="I14" s="65" t="s">
        <v>63</v>
      </c>
      <c r="J14" s="66"/>
      <c r="K14" s="67"/>
      <c r="L14" s="154" t="s">
        <v>34</v>
      </c>
      <c r="M14" s="162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</row>
    <row r="15" spans="1:103" s="68" customFormat="1" ht="59.4" customHeight="1" thickBot="1" x14ac:dyDescent="0.35">
      <c r="A15" s="59" t="s">
        <v>67</v>
      </c>
      <c r="B15" s="60"/>
      <c r="C15" s="61" t="s">
        <v>39</v>
      </c>
      <c r="D15" s="47" t="s">
        <v>50</v>
      </c>
      <c r="E15" s="62" t="s">
        <v>58</v>
      </c>
      <c r="F15" s="63" t="s">
        <v>54</v>
      </c>
      <c r="G15" s="63" t="s">
        <v>55</v>
      </c>
      <c r="H15" s="64" t="s">
        <v>61</v>
      </c>
      <c r="I15" s="65" t="s">
        <v>64</v>
      </c>
      <c r="J15" s="66"/>
      <c r="K15" s="67"/>
      <c r="L15" s="154" t="s">
        <v>34</v>
      </c>
      <c r="M15" s="162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98"/>
      <c r="AI15" s="98"/>
      <c r="AJ15" s="98"/>
      <c r="AK15" s="98"/>
      <c r="AL15" s="98"/>
      <c r="AM15" s="98"/>
      <c r="AN15" s="98"/>
      <c r="AO15" s="98"/>
      <c r="AP15" s="98"/>
      <c r="AQ15" s="98"/>
      <c r="AR15" s="98"/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</row>
    <row r="16" spans="1:103" s="146" customFormat="1" ht="15" thickBot="1" x14ac:dyDescent="0.35">
      <c r="A16" s="147" t="s">
        <v>116</v>
      </c>
      <c r="B16" s="147"/>
      <c r="C16" s="147"/>
      <c r="D16" s="147"/>
      <c r="E16" s="147"/>
      <c r="F16" s="147"/>
      <c r="G16" s="147"/>
      <c r="H16" s="147"/>
      <c r="I16" s="147"/>
      <c r="J16" s="147"/>
      <c r="K16" s="147"/>
      <c r="L16" s="147"/>
      <c r="M16" s="163"/>
      <c r="N16" s="148"/>
      <c r="O16" s="148"/>
      <c r="P16" s="148"/>
      <c r="Q16" s="148"/>
      <c r="R16" s="148"/>
      <c r="S16" s="148"/>
      <c r="T16" s="148"/>
      <c r="U16" s="148"/>
      <c r="V16" s="148"/>
      <c r="W16" s="148"/>
      <c r="X16" s="148"/>
      <c r="Y16" s="148"/>
      <c r="Z16" s="148"/>
      <c r="AA16" s="148"/>
      <c r="AB16" s="148"/>
      <c r="AC16" s="148"/>
      <c r="AD16" s="148"/>
      <c r="AE16" s="148"/>
      <c r="AF16" s="148"/>
      <c r="AG16" s="148"/>
      <c r="AH16" s="148"/>
      <c r="AI16" s="148"/>
      <c r="AJ16" s="148"/>
      <c r="AK16" s="148"/>
      <c r="AL16" s="148"/>
      <c r="AM16" s="148"/>
      <c r="AN16" s="148"/>
      <c r="AO16" s="148"/>
      <c r="AP16" s="148"/>
      <c r="AQ16" s="148"/>
      <c r="AR16" s="148"/>
      <c r="AS16" s="148"/>
      <c r="AT16" s="148"/>
      <c r="AU16" s="148"/>
      <c r="AV16" s="148"/>
      <c r="AW16" s="148"/>
      <c r="AX16" s="148"/>
      <c r="AY16" s="148"/>
      <c r="AZ16" s="148"/>
      <c r="BA16" s="148"/>
      <c r="BB16" s="148"/>
      <c r="BC16" s="148"/>
      <c r="BD16" s="148"/>
      <c r="BE16" s="148"/>
      <c r="BF16" s="148"/>
      <c r="BG16" s="148"/>
      <c r="BH16" s="148"/>
      <c r="BI16" s="148"/>
      <c r="BJ16" s="148"/>
      <c r="BK16" s="148"/>
      <c r="BL16" s="148"/>
      <c r="BM16" s="148"/>
      <c r="BN16" s="148"/>
      <c r="BO16" s="148"/>
      <c r="BP16" s="148"/>
      <c r="BQ16" s="148"/>
      <c r="BR16" s="148"/>
      <c r="BS16" s="148"/>
      <c r="BT16" s="148"/>
      <c r="BU16" s="148"/>
      <c r="BV16" s="148"/>
      <c r="BW16" s="148"/>
      <c r="BX16" s="148"/>
      <c r="BY16" s="148"/>
      <c r="BZ16" s="148"/>
      <c r="CA16" s="148"/>
      <c r="CB16" s="148"/>
      <c r="CC16" s="148"/>
      <c r="CD16" s="148"/>
      <c r="CE16" s="148"/>
      <c r="CF16" s="148"/>
      <c r="CG16" s="148"/>
      <c r="CH16" s="148"/>
      <c r="CI16" s="148"/>
      <c r="CJ16" s="148"/>
      <c r="CK16" s="148"/>
      <c r="CL16" s="148"/>
      <c r="CM16" s="148"/>
      <c r="CN16" s="148"/>
      <c r="CO16" s="148"/>
      <c r="CP16" s="148"/>
      <c r="CQ16" s="148"/>
      <c r="CR16" s="148"/>
      <c r="CS16" s="148"/>
      <c r="CT16" s="148"/>
      <c r="CU16" s="148"/>
      <c r="CV16" s="148"/>
      <c r="CW16" s="148"/>
      <c r="CX16" s="148"/>
      <c r="CY16" s="148"/>
    </row>
    <row r="17" spans="1:103" s="68" customFormat="1" ht="113.4" customHeight="1" thickBot="1" x14ac:dyDescent="0.35">
      <c r="A17" s="112" t="s">
        <v>75</v>
      </c>
      <c r="B17" s="113" t="s">
        <v>77</v>
      </c>
      <c r="C17" s="114" t="s">
        <v>39</v>
      </c>
      <c r="D17" s="52" t="s">
        <v>77</v>
      </c>
      <c r="E17" s="115" t="s">
        <v>78</v>
      </c>
      <c r="F17" s="116" t="s">
        <v>54</v>
      </c>
      <c r="G17" s="116" t="s">
        <v>55</v>
      </c>
      <c r="H17" s="117" t="s">
        <v>61</v>
      </c>
      <c r="I17" s="118" t="s">
        <v>79</v>
      </c>
      <c r="J17" s="119"/>
      <c r="K17" s="120"/>
      <c r="L17" s="155" t="s">
        <v>34</v>
      </c>
      <c r="M17" s="162"/>
      <c r="N17" s="149"/>
      <c r="O17" s="149"/>
      <c r="P17" s="148"/>
      <c r="Q17" s="149"/>
      <c r="R17" s="149"/>
      <c r="S17" s="149"/>
      <c r="T17" s="149"/>
      <c r="U17" s="149"/>
      <c r="V17" s="149"/>
      <c r="W17" s="149"/>
      <c r="X17" s="149"/>
      <c r="Y17" s="149"/>
      <c r="Z17" s="149"/>
      <c r="AA17" s="149"/>
      <c r="AB17" s="149"/>
      <c r="AC17" s="149"/>
      <c r="AD17" s="149"/>
      <c r="AE17" s="149"/>
      <c r="AF17" s="149"/>
      <c r="AG17" s="149"/>
      <c r="AH17" s="149"/>
      <c r="AI17" s="149"/>
      <c r="AJ17" s="149"/>
      <c r="AK17" s="149"/>
      <c r="AL17" s="149"/>
      <c r="AM17" s="149"/>
      <c r="AN17" s="149"/>
      <c r="AO17" s="149"/>
      <c r="AP17" s="149"/>
      <c r="AQ17" s="149"/>
      <c r="AR17" s="149"/>
      <c r="AS17" s="149"/>
      <c r="AT17" s="149"/>
      <c r="AU17" s="149"/>
      <c r="AV17" s="149"/>
      <c r="AW17" s="149"/>
      <c r="AX17" s="149"/>
      <c r="AY17" s="149"/>
      <c r="AZ17" s="149"/>
      <c r="BA17" s="149"/>
      <c r="BB17" s="149"/>
      <c r="BC17" s="149"/>
      <c r="BD17" s="149"/>
      <c r="BE17" s="149"/>
      <c r="BF17" s="149"/>
      <c r="BG17" s="149"/>
      <c r="BH17" s="149"/>
      <c r="BI17" s="149"/>
      <c r="BJ17" s="149"/>
      <c r="BK17" s="149"/>
      <c r="BL17" s="149"/>
      <c r="BM17" s="149"/>
      <c r="BN17" s="149"/>
      <c r="BO17" s="149"/>
      <c r="BP17" s="149"/>
      <c r="BQ17" s="149"/>
      <c r="BR17" s="149"/>
      <c r="BS17" s="149"/>
      <c r="BT17" s="149"/>
      <c r="BU17" s="149"/>
      <c r="BV17" s="149"/>
      <c r="BW17" s="149"/>
      <c r="BX17" s="149"/>
      <c r="BY17" s="149"/>
      <c r="BZ17" s="149"/>
      <c r="CA17" s="149"/>
      <c r="CB17" s="149"/>
      <c r="CC17" s="149"/>
      <c r="CD17" s="149"/>
      <c r="CE17" s="149"/>
      <c r="CF17" s="149"/>
      <c r="CG17" s="149"/>
      <c r="CH17" s="149"/>
      <c r="CI17" s="149"/>
      <c r="CJ17" s="149"/>
      <c r="CK17" s="149"/>
      <c r="CL17" s="149"/>
      <c r="CM17" s="149"/>
      <c r="CN17" s="149"/>
      <c r="CO17" s="149"/>
      <c r="CP17" s="149"/>
      <c r="CQ17" s="149"/>
      <c r="CR17" s="149"/>
      <c r="CS17" s="149"/>
      <c r="CT17" s="149"/>
      <c r="CU17" s="149"/>
      <c r="CV17" s="149"/>
      <c r="CW17" s="149"/>
      <c r="CX17" s="149"/>
      <c r="CY17" s="149"/>
    </row>
    <row r="18" spans="1:103" s="111" customFormat="1" ht="137.4" customHeight="1" thickBot="1" x14ac:dyDescent="0.35">
      <c r="A18" s="123" t="s">
        <v>76</v>
      </c>
      <c r="B18" s="124"/>
      <c r="C18" s="131" t="s">
        <v>84</v>
      </c>
      <c r="D18" s="131" t="s">
        <v>115</v>
      </c>
      <c r="E18" s="124" t="s">
        <v>85</v>
      </c>
      <c r="F18" s="124" t="s">
        <v>86</v>
      </c>
      <c r="G18" s="124" t="s">
        <v>82</v>
      </c>
      <c r="H18" s="124" t="s">
        <v>88</v>
      </c>
      <c r="I18" s="125" t="s">
        <v>97</v>
      </c>
      <c r="J18" s="124"/>
      <c r="K18" s="124"/>
      <c r="L18" s="156" t="s">
        <v>34</v>
      </c>
      <c r="M18" s="165"/>
    </row>
    <row r="19" spans="1:103" s="111" customFormat="1" ht="115.8" thickBot="1" x14ac:dyDescent="0.35">
      <c r="A19" s="133" t="s">
        <v>99</v>
      </c>
      <c r="B19" s="134"/>
      <c r="C19" s="135" t="s">
        <v>84</v>
      </c>
      <c r="D19" s="135" t="s">
        <v>81</v>
      </c>
      <c r="E19" s="134" t="s">
        <v>90</v>
      </c>
      <c r="F19" s="134" t="s">
        <v>86</v>
      </c>
      <c r="G19" s="134" t="s">
        <v>87</v>
      </c>
      <c r="H19" s="134" t="s">
        <v>91</v>
      </c>
      <c r="I19" s="136" t="s">
        <v>98</v>
      </c>
      <c r="J19" s="142" t="s">
        <v>134</v>
      </c>
      <c r="K19" s="134"/>
      <c r="L19" s="157" t="s">
        <v>44</v>
      </c>
      <c r="M19" s="165"/>
    </row>
    <row r="20" spans="1:103" s="111" customFormat="1" ht="89.4" customHeight="1" thickBot="1" x14ac:dyDescent="0.35">
      <c r="A20" s="121" t="s">
        <v>100</v>
      </c>
      <c r="B20" s="121"/>
      <c r="C20" s="139" t="s">
        <v>93</v>
      </c>
      <c r="D20" s="139" t="s">
        <v>81</v>
      </c>
      <c r="E20" s="121" t="s">
        <v>94</v>
      </c>
      <c r="F20" s="121" t="s">
        <v>95</v>
      </c>
      <c r="G20" s="121" t="s">
        <v>82</v>
      </c>
      <c r="H20" s="121" t="s">
        <v>96</v>
      </c>
      <c r="I20" s="122" t="s">
        <v>101</v>
      </c>
      <c r="J20" s="121"/>
      <c r="K20" s="121"/>
      <c r="L20" s="158" t="s">
        <v>34</v>
      </c>
      <c r="M20" s="165"/>
    </row>
    <row r="21" spans="1:103" s="127" customFormat="1" ht="55.2" customHeight="1" thickBot="1" x14ac:dyDescent="0.35">
      <c r="A21" s="128" t="s">
        <v>80</v>
      </c>
      <c r="B21" s="129"/>
      <c r="C21" s="137" t="s">
        <v>39</v>
      </c>
      <c r="D21" s="137" t="s">
        <v>81</v>
      </c>
      <c r="E21" s="129" t="s">
        <v>103</v>
      </c>
      <c r="F21" s="129" t="s">
        <v>104</v>
      </c>
      <c r="G21" s="129" t="s">
        <v>82</v>
      </c>
      <c r="H21" s="129" t="s">
        <v>105</v>
      </c>
      <c r="I21" s="138" t="s">
        <v>113</v>
      </c>
      <c r="J21" s="129"/>
      <c r="K21" s="129"/>
      <c r="L21" s="143" t="s">
        <v>34</v>
      </c>
      <c r="M21" s="16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  <c r="AA21" s="145"/>
      <c r="AB21" s="145"/>
      <c r="AC21" s="145"/>
      <c r="AD21" s="145"/>
    </row>
    <row r="22" spans="1:103" s="127" customFormat="1" ht="92.4" customHeight="1" thickBot="1" x14ac:dyDescent="0.35">
      <c r="A22" s="126" t="s">
        <v>83</v>
      </c>
      <c r="C22" s="132" t="s">
        <v>39</v>
      </c>
      <c r="D22" s="132" t="s">
        <v>106</v>
      </c>
      <c r="E22" s="127" t="s">
        <v>107</v>
      </c>
      <c r="F22" s="127" t="s">
        <v>108</v>
      </c>
      <c r="G22" s="127" t="s">
        <v>82</v>
      </c>
      <c r="H22" s="127" t="s">
        <v>109</v>
      </c>
      <c r="I22" s="130" t="s">
        <v>114</v>
      </c>
      <c r="L22" s="144" t="s">
        <v>34</v>
      </c>
      <c r="M22" s="16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</row>
    <row r="23" spans="1:103" s="127" customFormat="1" ht="83.4" customHeight="1" thickBot="1" x14ac:dyDescent="0.35">
      <c r="A23" s="126" t="s">
        <v>89</v>
      </c>
      <c r="C23" s="132" t="s">
        <v>110</v>
      </c>
      <c r="D23" s="132" t="s">
        <v>106</v>
      </c>
      <c r="E23" s="127" t="s">
        <v>111</v>
      </c>
      <c r="F23" s="127" t="s">
        <v>112</v>
      </c>
      <c r="G23" s="127" t="s">
        <v>82</v>
      </c>
      <c r="I23" s="130" t="s">
        <v>114</v>
      </c>
      <c r="L23" s="144" t="s">
        <v>34</v>
      </c>
      <c r="M23" s="165"/>
      <c r="N23" s="145"/>
      <c r="O23" s="145"/>
      <c r="P23" s="145"/>
      <c r="Q23" s="145"/>
      <c r="R23" s="145"/>
      <c r="S23" s="145"/>
      <c r="T23" s="145"/>
      <c r="U23" s="145"/>
      <c r="V23" s="145"/>
      <c r="W23" s="145"/>
      <c r="X23" s="145"/>
      <c r="Y23" s="145"/>
      <c r="Z23" s="145"/>
      <c r="AA23" s="145"/>
      <c r="AB23" s="145"/>
      <c r="AC23" s="145"/>
      <c r="AD23" s="145"/>
    </row>
    <row r="24" spans="1:103" ht="24.6" customHeight="1" thickBot="1" x14ac:dyDescent="0.35">
      <c r="A24" s="140" t="s">
        <v>128</v>
      </c>
      <c r="B24" s="141"/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64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</row>
    <row r="25" spans="1:103" ht="94.2" customHeight="1" thickBot="1" x14ac:dyDescent="0.35">
      <c r="A25" s="121" t="s">
        <v>92</v>
      </c>
      <c r="B25" s="139" t="s">
        <v>77</v>
      </c>
      <c r="C25" s="139" t="s">
        <v>39</v>
      </c>
      <c r="D25" s="121" t="s">
        <v>117</v>
      </c>
      <c r="E25" s="121" t="s">
        <v>118</v>
      </c>
      <c r="F25" s="121" t="s">
        <v>119</v>
      </c>
      <c r="G25" s="121" t="s">
        <v>82</v>
      </c>
      <c r="H25" s="121" t="s">
        <v>105</v>
      </c>
      <c r="I25" s="122" t="s">
        <v>129</v>
      </c>
      <c r="J25" s="121"/>
      <c r="K25" s="121"/>
      <c r="L25" s="144" t="s">
        <v>34</v>
      </c>
      <c r="M25" s="165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</row>
    <row r="26" spans="1:103" ht="97.8" customHeight="1" thickBot="1" x14ac:dyDescent="0.35">
      <c r="A26" s="121" t="s">
        <v>136</v>
      </c>
      <c r="B26" s="121"/>
      <c r="C26" s="139" t="s">
        <v>84</v>
      </c>
      <c r="D26" s="121" t="s">
        <v>117</v>
      </c>
      <c r="E26" s="121" t="s">
        <v>120</v>
      </c>
      <c r="F26" s="121" t="s">
        <v>121</v>
      </c>
      <c r="G26" s="121" t="s">
        <v>82</v>
      </c>
      <c r="H26" s="121" t="s">
        <v>122</v>
      </c>
      <c r="I26" s="122" t="s">
        <v>129</v>
      </c>
      <c r="J26" s="121"/>
      <c r="K26" s="121"/>
      <c r="L26" s="144" t="s">
        <v>34</v>
      </c>
      <c r="M26" s="165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</row>
    <row r="27" spans="1:103" ht="90" customHeight="1" thickBot="1" x14ac:dyDescent="0.35">
      <c r="A27" s="121" t="s">
        <v>137</v>
      </c>
      <c r="B27" s="121"/>
      <c r="C27" s="139" t="s">
        <v>84</v>
      </c>
      <c r="D27" s="121" t="s">
        <v>117</v>
      </c>
      <c r="E27" s="121" t="s">
        <v>123</v>
      </c>
      <c r="F27" s="121" t="s">
        <v>86</v>
      </c>
      <c r="G27" s="121" t="s">
        <v>82</v>
      </c>
      <c r="H27" s="121" t="s">
        <v>124</v>
      </c>
      <c r="I27" s="122" t="s">
        <v>130</v>
      </c>
      <c r="J27" s="121"/>
      <c r="K27" s="121"/>
      <c r="L27" s="144" t="s">
        <v>34</v>
      </c>
      <c r="M27" s="165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</row>
    <row r="28" spans="1:103" ht="111.6" customHeight="1" thickBot="1" x14ac:dyDescent="0.35">
      <c r="A28" s="121" t="s">
        <v>102</v>
      </c>
      <c r="B28" s="121"/>
      <c r="C28" s="139" t="s">
        <v>84</v>
      </c>
      <c r="D28" s="121" t="s">
        <v>117</v>
      </c>
      <c r="E28" s="121" t="s">
        <v>125</v>
      </c>
      <c r="F28" s="121" t="s">
        <v>126</v>
      </c>
      <c r="G28" s="121" t="s">
        <v>82</v>
      </c>
      <c r="H28" s="121" t="s">
        <v>127</v>
      </c>
      <c r="I28" s="122" t="s">
        <v>131</v>
      </c>
      <c r="J28" s="121"/>
      <c r="K28" s="121"/>
      <c r="L28" s="144" t="s">
        <v>34</v>
      </c>
      <c r="M28" s="165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</row>
  </sheetData>
  <mergeCells count="8">
    <mergeCell ref="A24:L24"/>
    <mergeCell ref="A16:L16"/>
    <mergeCell ref="A8:M8"/>
    <mergeCell ref="A1:B1"/>
    <mergeCell ref="L1:M1"/>
    <mergeCell ref="A2:B2"/>
    <mergeCell ref="A5:B5"/>
    <mergeCell ref="C5:G5"/>
  </mergeCells>
  <conditionalFormatting sqref="L9">
    <cfRule type="cellIs" dxfId="53" priority="65" operator="equal">
      <formula>"Passed"</formula>
    </cfRule>
  </conditionalFormatting>
  <conditionalFormatting sqref="L9">
    <cfRule type="cellIs" dxfId="52" priority="66" operator="equal">
      <formula>"Failed"</formula>
    </cfRule>
  </conditionalFormatting>
  <conditionalFormatting sqref="L9">
    <cfRule type="cellIs" dxfId="51" priority="67" operator="equal">
      <formula>"Not Executed"</formula>
    </cfRule>
  </conditionalFormatting>
  <conditionalFormatting sqref="L9">
    <cfRule type="cellIs" dxfId="50" priority="68" operator="equal">
      <formula>"Out of Scope"</formula>
    </cfRule>
  </conditionalFormatting>
  <conditionalFormatting sqref="L12">
    <cfRule type="cellIs" dxfId="49" priority="57" operator="equal">
      <formula>"Passed"</formula>
    </cfRule>
  </conditionalFormatting>
  <conditionalFormatting sqref="L12">
    <cfRule type="cellIs" dxfId="48" priority="58" operator="equal">
      <formula>"Failed"</formula>
    </cfRule>
  </conditionalFormatting>
  <conditionalFormatting sqref="L12">
    <cfRule type="cellIs" dxfId="47" priority="59" operator="equal">
      <formula>"Not Executed"</formula>
    </cfRule>
  </conditionalFormatting>
  <conditionalFormatting sqref="L12">
    <cfRule type="cellIs" dxfId="46" priority="60" operator="equal">
      <formula>"Out of Scope"</formula>
    </cfRule>
  </conditionalFormatting>
  <conditionalFormatting sqref="L13">
    <cfRule type="cellIs" dxfId="45" priority="53" operator="equal">
      <formula>"Passed"</formula>
    </cfRule>
  </conditionalFormatting>
  <conditionalFormatting sqref="L13">
    <cfRule type="cellIs" dxfId="44" priority="54" operator="equal">
      <formula>"Failed"</formula>
    </cfRule>
  </conditionalFormatting>
  <conditionalFormatting sqref="L13">
    <cfRule type="cellIs" dxfId="43" priority="55" operator="equal">
      <formula>"Not Executed"</formula>
    </cfRule>
  </conditionalFormatting>
  <conditionalFormatting sqref="L13">
    <cfRule type="cellIs" dxfId="42" priority="56" operator="equal">
      <formula>"Out of Scope"</formula>
    </cfRule>
  </conditionalFormatting>
  <conditionalFormatting sqref="L14">
    <cfRule type="cellIs" dxfId="41" priority="49" operator="equal">
      <formula>"Passed"</formula>
    </cfRule>
  </conditionalFormatting>
  <conditionalFormatting sqref="L14">
    <cfRule type="cellIs" dxfId="40" priority="50" operator="equal">
      <formula>"Failed"</formula>
    </cfRule>
  </conditionalFormatting>
  <conditionalFormatting sqref="L14">
    <cfRule type="cellIs" dxfId="39" priority="51" operator="equal">
      <formula>"Not Executed"</formula>
    </cfRule>
  </conditionalFormatting>
  <conditionalFormatting sqref="L14">
    <cfRule type="cellIs" dxfId="38" priority="52" operator="equal">
      <formula>"Out of Scope"</formula>
    </cfRule>
  </conditionalFormatting>
  <conditionalFormatting sqref="L15">
    <cfRule type="cellIs" dxfId="37" priority="45" operator="equal">
      <formula>"Passed"</formula>
    </cfRule>
  </conditionalFormatting>
  <conditionalFormatting sqref="L15">
    <cfRule type="cellIs" dxfId="36" priority="46" operator="equal">
      <formula>"Failed"</formula>
    </cfRule>
  </conditionalFormatting>
  <conditionalFormatting sqref="L15">
    <cfRule type="cellIs" dxfId="35" priority="47" operator="equal">
      <formula>"Not Executed"</formula>
    </cfRule>
  </conditionalFormatting>
  <conditionalFormatting sqref="L15">
    <cfRule type="cellIs" dxfId="34" priority="48" operator="equal">
      <formula>"Out of Scope"</formula>
    </cfRule>
  </conditionalFormatting>
  <conditionalFormatting sqref="L17">
    <cfRule type="cellIs" dxfId="33" priority="44" operator="equal">
      <formula>"Passed"</formula>
    </cfRule>
  </conditionalFormatting>
  <conditionalFormatting sqref="L17">
    <cfRule type="cellIs" dxfId="32" priority="43" operator="equal">
      <formula>"Failed"</formula>
    </cfRule>
  </conditionalFormatting>
  <conditionalFormatting sqref="L17">
    <cfRule type="cellIs" dxfId="31" priority="43" operator="equal">
      <formula>"Not Executed"</formula>
    </cfRule>
  </conditionalFormatting>
  <conditionalFormatting sqref="L17">
    <cfRule type="cellIs" dxfId="30" priority="44" operator="equal">
      <formula>"Out of Scope"</formula>
    </cfRule>
  </conditionalFormatting>
  <conditionalFormatting sqref="L18">
    <cfRule type="cellIs" dxfId="29" priority="34" operator="equal">
      <formula>"Passed"</formula>
    </cfRule>
  </conditionalFormatting>
  <conditionalFormatting sqref="L18">
    <cfRule type="cellIs" dxfId="28" priority="33" operator="equal">
      <formula>"Failed"</formula>
    </cfRule>
  </conditionalFormatting>
  <conditionalFormatting sqref="L18 L21:L23">
    <cfRule type="cellIs" dxfId="27" priority="-1" operator="equal">
      <formula>"Not Executed"</formula>
    </cfRule>
  </conditionalFormatting>
  <conditionalFormatting sqref="L18 L21:L23">
    <cfRule type="cellIs" dxfId="26" priority="-1" operator="equal">
      <formula>"Out of Scope"</formula>
    </cfRule>
  </conditionalFormatting>
  <conditionalFormatting sqref="L20">
    <cfRule type="cellIs" dxfId="25" priority="30" operator="equal">
      <formula>"Passed"</formula>
    </cfRule>
  </conditionalFormatting>
  <conditionalFormatting sqref="L20">
    <cfRule type="cellIs" dxfId="24" priority="29" operator="equal">
      <formula>"Failed"</formula>
    </cfRule>
  </conditionalFormatting>
  <conditionalFormatting sqref="L20">
    <cfRule type="cellIs" dxfId="23" priority="30" operator="equal">
      <formula>"Not Executed"</formula>
    </cfRule>
  </conditionalFormatting>
  <conditionalFormatting sqref="L20">
    <cfRule type="cellIs" dxfId="22" priority="29" operator="equal">
      <formula>"Out of Scope"</formula>
    </cfRule>
  </conditionalFormatting>
  <conditionalFormatting sqref="L21">
    <cfRule type="cellIs" dxfId="21" priority="26" operator="equal">
      <formula>"Passed"</formula>
    </cfRule>
  </conditionalFormatting>
  <conditionalFormatting sqref="L21">
    <cfRule type="cellIs" dxfId="20" priority="25" operator="equal">
      <formula>"Failed"</formula>
    </cfRule>
  </conditionalFormatting>
  <conditionalFormatting sqref="L22">
    <cfRule type="cellIs" dxfId="19" priority="22" operator="equal">
      <formula>"Passed"</formula>
    </cfRule>
  </conditionalFormatting>
  <conditionalFormatting sqref="L22">
    <cfRule type="cellIs" dxfId="18" priority="21" operator="equal">
      <formula>"Failed"</formula>
    </cfRule>
  </conditionalFormatting>
  <conditionalFormatting sqref="L23">
    <cfRule type="cellIs" dxfId="17" priority="18" operator="equal">
      <formula>"Passed"</formula>
    </cfRule>
  </conditionalFormatting>
  <conditionalFormatting sqref="L23">
    <cfRule type="cellIs" dxfId="16" priority="17" operator="equal">
      <formula>"Failed"</formula>
    </cfRule>
  </conditionalFormatting>
  <conditionalFormatting sqref="L25">
    <cfRule type="cellIs" dxfId="15" priority="14" operator="equal">
      <formula>"Passed"</formula>
    </cfRule>
  </conditionalFormatting>
  <conditionalFormatting sqref="L25">
    <cfRule type="cellIs" dxfId="14" priority="13" operator="equal">
      <formula>"Failed"</formula>
    </cfRule>
  </conditionalFormatting>
  <conditionalFormatting sqref="L25">
    <cfRule type="cellIs" dxfId="13" priority="14" operator="equal">
      <formula>"Not Executed"</formula>
    </cfRule>
  </conditionalFormatting>
  <conditionalFormatting sqref="L25">
    <cfRule type="cellIs" dxfId="12" priority="13" operator="equal">
      <formula>"Out of Scope"</formula>
    </cfRule>
  </conditionalFormatting>
  <conditionalFormatting sqref="L26">
    <cfRule type="cellIs" dxfId="11" priority="10" operator="equal">
      <formula>"Passed"</formula>
    </cfRule>
  </conditionalFormatting>
  <conditionalFormatting sqref="L26">
    <cfRule type="cellIs" dxfId="10" priority="9" operator="equal">
      <formula>"Failed"</formula>
    </cfRule>
  </conditionalFormatting>
  <conditionalFormatting sqref="L26">
    <cfRule type="cellIs" dxfId="9" priority="10" operator="equal">
      <formula>"Not Executed"</formula>
    </cfRule>
  </conditionalFormatting>
  <conditionalFormatting sqref="L26">
    <cfRule type="cellIs" dxfId="8" priority="9" operator="equal">
      <formula>"Out of Scope"</formula>
    </cfRule>
  </conditionalFormatting>
  <conditionalFormatting sqref="L27">
    <cfRule type="cellIs" dxfId="7" priority="6" operator="equal">
      <formula>"Passed"</formula>
    </cfRule>
  </conditionalFormatting>
  <conditionalFormatting sqref="L27">
    <cfRule type="cellIs" dxfId="6" priority="5" operator="equal">
      <formula>"Failed"</formula>
    </cfRule>
  </conditionalFormatting>
  <conditionalFormatting sqref="L27">
    <cfRule type="cellIs" dxfId="5" priority="6" operator="equal">
      <formula>"Not Executed"</formula>
    </cfRule>
  </conditionalFormatting>
  <conditionalFormatting sqref="L27">
    <cfRule type="cellIs" dxfId="4" priority="5" operator="equal">
      <formula>"Out of Scope"</formula>
    </cfRule>
  </conditionalFormatting>
  <conditionalFormatting sqref="L28">
    <cfRule type="cellIs" dxfId="3" priority="2" operator="equal">
      <formula>"Passed"</formula>
    </cfRule>
  </conditionalFormatting>
  <conditionalFormatting sqref="L28">
    <cfRule type="cellIs" dxfId="2" priority="1" operator="equal">
      <formula>"Failed"</formula>
    </cfRule>
  </conditionalFormatting>
  <conditionalFormatting sqref="L28">
    <cfRule type="cellIs" dxfId="1" priority="2" operator="equal">
      <formula>"Not Executed"</formula>
    </cfRule>
  </conditionalFormatting>
  <conditionalFormatting sqref="L28">
    <cfRule type="cellIs" dxfId="0" priority="1" operator="equal">
      <formula>"Out of Scope"</formula>
    </cfRule>
  </conditionalFormatting>
  <dataValidations count="1">
    <dataValidation type="list" allowBlank="1" sqref="L9 L12:L15 L17:L18 L20" xr:uid="{D7FA9D5E-2FA7-4860-9217-53C2016CBBC1}">
      <formula1>"Passed,Failed,Not Executed,Out of Scope"</formula1>
    </dataValidation>
  </dataValidations>
  <hyperlinks>
    <hyperlink ref="C1" r:id="rId1" xr:uid="{31727A61-3BC6-4CC1-ADE2-B69D6B68503E}"/>
    <hyperlink ref="H10" r:id="rId2" xr:uid="{3276C459-A5BE-4F67-9AA7-80D07AC357AE}"/>
    <hyperlink ref="H11" r:id="rId3" xr:uid="{DADC4F38-97E3-4624-AB82-EF1B8E160322}"/>
    <hyperlink ref="J10" r:id="rId4" xr:uid="{7026CF9B-48D2-48E6-A3D0-D8EC40FAD612}"/>
    <hyperlink ref="J11" r:id="rId5" xr:uid="{C7D7D9EB-E693-43A3-8C60-EA449C5A9546}"/>
    <hyperlink ref="J19" r:id="rId6" xr:uid="{980704CF-12B2-4421-80AA-9FF330177682}"/>
  </hyperlinks>
  <pageMargins left="0.7" right="0.7" top="0.75" bottom="0.75" header="0.3" footer="0.3"/>
  <pageSetup orientation="portrait" horizontalDpi="1200" verticalDpi="1200"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DB2BC-2132-4947-AE72-A949735262ED}">
  <dimension ref="B1:G27"/>
  <sheetViews>
    <sheetView workbookViewId="0">
      <selection activeCell="B2" sqref="B2:G3"/>
    </sheetView>
  </sheetViews>
  <sheetFormatPr defaultRowHeight="14.4" x14ac:dyDescent="0.3"/>
  <sheetData>
    <row r="1" spans="2:7" ht="15" thickBot="1" x14ac:dyDescent="0.35"/>
    <row r="2" spans="2:7" x14ac:dyDescent="0.3">
      <c r="B2" s="105"/>
      <c r="C2" s="106"/>
      <c r="D2" s="106"/>
      <c r="E2" s="106"/>
      <c r="F2" s="106"/>
      <c r="G2" s="107"/>
    </row>
    <row r="3" spans="2:7" x14ac:dyDescent="0.3">
      <c r="B3" s="108"/>
      <c r="C3" s="109"/>
      <c r="D3" s="109"/>
      <c r="E3" s="109"/>
      <c r="F3" s="109"/>
      <c r="G3" s="110"/>
    </row>
    <row r="4" spans="2:7" x14ac:dyDescent="0.3">
      <c r="B4" s="99"/>
      <c r="C4" s="100"/>
      <c r="D4" s="100"/>
      <c r="E4" s="100"/>
      <c r="F4" s="100"/>
      <c r="G4" s="101"/>
    </row>
    <row r="5" spans="2:7" x14ac:dyDescent="0.3">
      <c r="B5" s="99"/>
      <c r="C5" s="100"/>
      <c r="D5" s="100"/>
      <c r="E5" s="100"/>
      <c r="F5" s="100"/>
      <c r="G5" s="101"/>
    </row>
    <row r="6" spans="2:7" x14ac:dyDescent="0.3">
      <c r="B6" s="99"/>
      <c r="C6" s="100"/>
      <c r="D6" s="100"/>
      <c r="E6" s="100"/>
      <c r="F6" s="100"/>
      <c r="G6" s="101"/>
    </row>
    <row r="7" spans="2:7" x14ac:dyDescent="0.3">
      <c r="B7" s="99"/>
      <c r="C7" s="100"/>
      <c r="D7" s="100"/>
      <c r="E7" s="100"/>
      <c r="F7" s="100"/>
      <c r="G7" s="101"/>
    </row>
    <row r="8" spans="2:7" x14ac:dyDescent="0.3">
      <c r="B8" s="99"/>
      <c r="C8" s="100"/>
      <c r="D8" s="100"/>
      <c r="E8" s="100"/>
      <c r="F8" s="100"/>
      <c r="G8" s="101"/>
    </row>
    <row r="9" spans="2:7" x14ac:dyDescent="0.3">
      <c r="B9" s="99"/>
      <c r="C9" s="100"/>
      <c r="D9" s="100"/>
      <c r="E9" s="100"/>
      <c r="F9" s="100"/>
      <c r="G9" s="101"/>
    </row>
    <row r="10" spans="2:7" x14ac:dyDescent="0.3">
      <c r="B10" s="99"/>
      <c r="C10" s="100"/>
      <c r="D10" s="100"/>
      <c r="E10" s="100"/>
      <c r="F10" s="100"/>
      <c r="G10" s="101"/>
    </row>
    <row r="11" spans="2:7" x14ac:dyDescent="0.3">
      <c r="B11" s="99"/>
      <c r="C11" s="100"/>
      <c r="D11" s="100"/>
      <c r="E11" s="100"/>
      <c r="F11" s="100"/>
      <c r="G11" s="101"/>
    </row>
    <row r="12" spans="2:7" x14ac:dyDescent="0.3">
      <c r="B12" s="99"/>
      <c r="C12" s="100"/>
      <c r="D12" s="100"/>
      <c r="E12" s="100"/>
      <c r="F12" s="100"/>
      <c r="G12" s="101"/>
    </row>
    <row r="13" spans="2:7" x14ac:dyDescent="0.3">
      <c r="B13" s="99"/>
      <c r="C13" s="100"/>
      <c r="D13" s="100"/>
      <c r="E13" s="100"/>
      <c r="F13" s="100"/>
      <c r="G13" s="101"/>
    </row>
    <row r="14" spans="2:7" x14ac:dyDescent="0.3">
      <c r="B14" s="99"/>
      <c r="C14" s="100"/>
      <c r="D14" s="100"/>
      <c r="E14" s="100"/>
      <c r="F14" s="100"/>
      <c r="G14" s="101"/>
    </row>
    <row r="15" spans="2:7" x14ac:dyDescent="0.3">
      <c r="B15" s="99"/>
      <c r="C15" s="100"/>
      <c r="D15" s="100"/>
      <c r="E15" s="100"/>
      <c r="F15" s="100"/>
      <c r="G15" s="101"/>
    </row>
    <row r="16" spans="2:7" x14ac:dyDescent="0.3">
      <c r="B16" s="99"/>
      <c r="C16" s="100"/>
      <c r="D16" s="100"/>
      <c r="E16" s="100"/>
      <c r="F16" s="100"/>
      <c r="G16" s="101"/>
    </row>
    <row r="17" spans="2:7" x14ac:dyDescent="0.3">
      <c r="B17" s="99"/>
      <c r="C17" s="100"/>
      <c r="D17" s="100"/>
      <c r="E17" s="100"/>
      <c r="F17" s="100"/>
      <c r="G17" s="101"/>
    </row>
    <row r="18" spans="2:7" x14ac:dyDescent="0.3">
      <c r="B18" s="99"/>
      <c r="C18" s="100"/>
      <c r="D18" s="100"/>
      <c r="E18" s="100"/>
      <c r="F18" s="100"/>
      <c r="G18" s="101"/>
    </row>
    <row r="19" spans="2:7" x14ac:dyDescent="0.3">
      <c r="B19" s="99"/>
      <c r="C19" s="100"/>
      <c r="D19" s="100"/>
      <c r="E19" s="100"/>
      <c r="F19" s="100"/>
      <c r="G19" s="101"/>
    </row>
    <row r="20" spans="2:7" x14ac:dyDescent="0.3">
      <c r="B20" s="99"/>
      <c r="C20" s="100"/>
      <c r="D20" s="100"/>
      <c r="E20" s="100"/>
      <c r="F20" s="100"/>
      <c r="G20" s="101"/>
    </row>
    <row r="21" spans="2:7" x14ac:dyDescent="0.3">
      <c r="B21" s="99"/>
      <c r="C21" s="100"/>
      <c r="D21" s="100"/>
      <c r="E21" s="100"/>
      <c r="F21" s="100"/>
      <c r="G21" s="101"/>
    </row>
    <row r="22" spans="2:7" x14ac:dyDescent="0.3">
      <c r="B22" s="99"/>
      <c r="C22" s="100"/>
      <c r="D22" s="100"/>
      <c r="E22" s="100"/>
      <c r="F22" s="100"/>
      <c r="G22" s="101"/>
    </row>
    <row r="23" spans="2:7" x14ac:dyDescent="0.3">
      <c r="B23" s="99"/>
      <c r="C23" s="100"/>
      <c r="D23" s="100"/>
      <c r="E23" s="100"/>
      <c r="F23" s="100"/>
      <c r="G23" s="101"/>
    </row>
    <row r="24" spans="2:7" x14ac:dyDescent="0.3">
      <c r="B24" s="99"/>
      <c r="C24" s="100"/>
      <c r="D24" s="100"/>
      <c r="E24" s="100"/>
      <c r="F24" s="100"/>
      <c r="G24" s="101"/>
    </row>
    <row r="25" spans="2:7" x14ac:dyDescent="0.3">
      <c r="B25" s="99"/>
      <c r="C25" s="100"/>
      <c r="D25" s="100"/>
      <c r="E25" s="100"/>
      <c r="F25" s="100"/>
      <c r="G25" s="101"/>
    </row>
    <row r="26" spans="2:7" x14ac:dyDescent="0.3">
      <c r="B26" s="99"/>
      <c r="C26" s="100"/>
      <c r="D26" s="100"/>
      <c r="E26" s="100"/>
      <c r="F26" s="100"/>
      <c r="G26" s="101"/>
    </row>
    <row r="27" spans="2:7" ht="15" thickBot="1" x14ac:dyDescent="0.35">
      <c r="B27" s="102"/>
      <c r="C27" s="103"/>
      <c r="D27" s="103"/>
      <c r="E27" s="103"/>
      <c r="F27" s="103"/>
      <c r="G27" s="104"/>
    </row>
  </sheetData>
  <mergeCells count="1">
    <mergeCell ref="B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Test Plan</vt:lpstr>
      <vt:lpstr>Test Case</vt:lpstr>
      <vt:lpstr>Bug Report</vt:lpstr>
      <vt:lpstr>Ali_Express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</dc:creator>
  <cp:lastModifiedBy>AIC</cp:lastModifiedBy>
  <dcterms:created xsi:type="dcterms:W3CDTF">2026-01-23T14:03:59Z</dcterms:created>
  <dcterms:modified xsi:type="dcterms:W3CDTF">2026-02-04T18:52:59Z</dcterms:modified>
</cp:coreProperties>
</file>